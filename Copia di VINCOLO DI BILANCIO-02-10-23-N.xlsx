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erica/Downloads/"/>
    </mc:Choice>
  </mc:AlternateContent>
  <xr:revisionPtr revIDLastSave="0" documentId="13_ncr:1_{0602A4EC-A864-BF4D-8F27-D7654D1510BB}" xr6:coauthVersionLast="47" xr6:coauthVersionMax="47" xr10:uidLastSave="{00000000-0000-0000-0000-000000000000}"/>
  <bookViews>
    <workbookView xWindow="3760" yWindow="800" windowWidth="29360" windowHeight="16560" activeTab="1" xr2:uid="{00000000-000D-0000-FFFF-FFFF00000000}"/>
  </bookViews>
  <sheets>
    <sheet name="VINCOLO DI BILANCIO" sheetId="1" r:id="rId1"/>
    <sheet name="ESE-2 DOMANDAOFFER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2" l="1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3" i="2"/>
  <c r="H15" i="1"/>
  <c r="H16" i="1"/>
  <c r="H17" i="1"/>
  <c r="H18" i="1"/>
  <c r="H14" i="1"/>
  <c r="H11" i="1"/>
  <c r="I4" i="1"/>
  <c r="G4" i="1"/>
  <c r="H10" i="1" s="1"/>
</calcChain>
</file>

<file path=xl/sharedStrings.xml><?xml version="1.0" encoding="utf-8"?>
<sst xmlns="http://schemas.openxmlformats.org/spreadsheetml/2006/main" count="15" uniqueCount="15">
  <si>
    <t>q1</t>
  </si>
  <si>
    <t>q2</t>
  </si>
  <si>
    <t>reddito</t>
  </si>
  <si>
    <t xml:space="preserve">intercetta verticale </t>
  </si>
  <si>
    <t>intercetta orizzonatle</t>
  </si>
  <si>
    <t>X</t>
  </si>
  <si>
    <t>Y</t>
  </si>
  <si>
    <t>Px</t>
  </si>
  <si>
    <t>py</t>
  </si>
  <si>
    <t>GRAFICO VINCOLO DI BILANCIO DELLA x</t>
  </si>
  <si>
    <t>GRAFICO VINCOLO DI BILANCIO DELLA y</t>
  </si>
  <si>
    <t>DOMANDA</t>
  </si>
  <si>
    <t>PREZZO</t>
  </si>
  <si>
    <t>OFFERTA</t>
  </si>
  <si>
    <r>
      <rPr>
        <b/>
        <sz val="12"/>
        <color theme="1"/>
        <rFont val="Cambria"/>
        <family val="1"/>
      </rPr>
      <t>testo:</t>
    </r>
    <r>
      <rPr>
        <sz val="12"/>
        <color theme="1"/>
        <rFont val="Cambria"/>
        <family val="1"/>
      </rPr>
      <t xml:space="preserve"> Il mercato della ristorazione a Trastevere è caratterizzato dalle seguenti curve di domanda: QD =60–1,5p
e di offerta:
QO =-10+p;
ove p è il prezzo di un pasto e Q è misurato in centinaia di pasti serviti al giorno.
a) Trovare l’elasticità della domanda nel punto di equilibrio.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</si>
</sst>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0" fontId="2" fillId="0" borderId="0" xfId="0" applyFont="1" applyAlignment="1">
      <alignment horizontal="center" shrinkToFit="1"/>
    </xf>
    <xf numFmtId="0" fontId="2" fillId="0" borderId="0" xfId="0" applyFont="1" applyAlignment="1">
      <alignment horizontal="center" wrapText="1" shrinkToFi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vincolo</a:t>
            </a:r>
            <a:r>
              <a:rPr lang="it-IT" baseline="0"/>
              <a:t> di bilancio x</a:t>
            </a:r>
            <a:r>
              <a:rPr lang="it-IT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'VINCOLO DI BILANCIO'!$G$10:$G$11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cat>
          <c:val>
            <c:numRef>
              <c:f>'VINCOLO DI BILANCIO'!$H$10:$H$11</c:f>
              <c:numCache>
                <c:formatCode>0.0</c:formatCode>
                <c:ptCount val="2"/>
                <c:pt idx="0" formatCode="General">
                  <c:v>5</c:v>
                </c:pt>
                <c:pt idx="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ED-4B7A-8222-BB36E93C27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1735552"/>
        <c:axId val="1621720992"/>
      </c:lineChart>
      <c:catAx>
        <c:axId val="1621735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1720992"/>
        <c:crosses val="autoZero"/>
        <c:auto val="1"/>
        <c:lblAlgn val="ctr"/>
        <c:lblOffset val="100"/>
        <c:noMultiLvlLbl val="0"/>
      </c:catAx>
      <c:valAx>
        <c:axId val="162172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217355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vincolo di bilancio y</a:t>
            </a:r>
          </a:p>
        </c:rich>
      </c:tx>
      <c:layout>
        <c:manualLayout>
          <c:xMode val="edge"/>
          <c:yMode val="edge"/>
          <c:x val="0.3320485564304462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'VINCOLO DI BILANCIO'!$G$14:$G$18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xVal>
          <c:yVal>
            <c:numRef>
              <c:f>'VINCOLO DI BILANCIO'!$H$14:$H$18</c:f>
              <c:numCache>
                <c:formatCode>General</c:formatCode>
                <c:ptCount val="5"/>
                <c:pt idx="0">
                  <c:v>1.3333333333333335</c:v>
                </c:pt>
                <c:pt idx="1">
                  <c:v>1</c:v>
                </c:pt>
                <c:pt idx="2">
                  <c:v>0.66666666666666674</c:v>
                </c:pt>
                <c:pt idx="3">
                  <c:v>0.33333333333333348</c:v>
                </c:pt>
                <c:pt idx="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F57-4C0D-9746-E5E5828A2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2709424"/>
        <c:axId val="1612711504"/>
      </c:scatterChart>
      <c:valAx>
        <c:axId val="161270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2711504"/>
        <c:crosses val="autoZero"/>
        <c:crossBetween val="midCat"/>
      </c:valAx>
      <c:valAx>
        <c:axId val="161271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12709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b="1"/>
              <a:t>CURVA DOMANDA/OFFERTA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5.5066017511169879E-2"/>
          <c:y val="0.12667349726775959"/>
          <c:w val="0.91618080182725248"/>
          <c:h val="0.79409744632330792"/>
        </c:manualLayout>
      </c:layout>
      <c:scatterChart>
        <c:scatterStyle val="lineMarker"/>
        <c:varyColors val="0"/>
        <c:ser>
          <c:idx val="1"/>
          <c:order val="0"/>
          <c:tx>
            <c:v>DOMANDA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'ESE-2 DOMANDAOFFERTA'!$B$3:$B$63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'ESE-2 DOMANDAOFFERTA'!$A$3:$A$63</c:f>
              <c:numCache>
                <c:formatCode>General</c:formatCode>
                <c:ptCount val="61"/>
                <c:pt idx="0">
                  <c:v>60</c:v>
                </c:pt>
                <c:pt idx="1">
                  <c:v>58.5</c:v>
                </c:pt>
                <c:pt idx="2">
                  <c:v>57</c:v>
                </c:pt>
                <c:pt idx="3">
                  <c:v>55.5</c:v>
                </c:pt>
                <c:pt idx="4">
                  <c:v>54</c:v>
                </c:pt>
                <c:pt idx="5">
                  <c:v>52.5</c:v>
                </c:pt>
                <c:pt idx="6">
                  <c:v>51</c:v>
                </c:pt>
                <c:pt idx="7">
                  <c:v>49.5</c:v>
                </c:pt>
                <c:pt idx="8">
                  <c:v>48</c:v>
                </c:pt>
                <c:pt idx="9">
                  <c:v>46.5</c:v>
                </c:pt>
                <c:pt idx="10">
                  <c:v>45</c:v>
                </c:pt>
                <c:pt idx="11">
                  <c:v>43.5</c:v>
                </c:pt>
                <c:pt idx="12">
                  <c:v>42</c:v>
                </c:pt>
                <c:pt idx="13">
                  <c:v>40.5</c:v>
                </c:pt>
                <c:pt idx="14">
                  <c:v>39</c:v>
                </c:pt>
                <c:pt idx="15">
                  <c:v>37.5</c:v>
                </c:pt>
                <c:pt idx="16">
                  <c:v>36</c:v>
                </c:pt>
                <c:pt idx="17">
                  <c:v>34.5</c:v>
                </c:pt>
                <c:pt idx="18">
                  <c:v>33</c:v>
                </c:pt>
                <c:pt idx="19">
                  <c:v>31.5</c:v>
                </c:pt>
                <c:pt idx="20">
                  <c:v>30</c:v>
                </c:pt>
                <c:pt idx="21">
                  <c:v>28.5</c:v>
                </c:pt>
                <c:pt idx="22">
                  <c:v>27</c:v>
                </c:pt>
                <c:pt idx="23">
                  <c:v>25.5</c:v>
                </c:pt>
                <c:pt idx="24">
                  <c:v>24</c:v>
                </c:pt>
                <c:pt idx="25">
                  <c:v>22.5</c:v>
                </c:pt>
                <c:pt idx="26">
                  <c:v>21</c:v>
                </c:pt>
                <c:pt idx="27">
                  <c:v>19.5</c:v>
                </c:pt>
                <c:pt idx="28">
                  <c:v>18</c:v>
                </c:pt>
                <c:pt idx="29">
                  <c:v>16.5</c:v>
                </c:pt>
                <c:pt idx="30">
                  <c:v>15</c:v>
                </c:pt>
                <c:pt idx="31">
                  <c:v>13.5</c:v>
                </c:pt>
                <c:pt idx="32">
                  <c:v>12</c:v>
                </c:pt>
                <c:pt idx="33">
                  <c:v>10.5</c:v>
                </c:pt>
                <c:pt idx="34">
                  <c:v>9</c:v>
                </c:pt>
                <c:pt idx="35">
                  <c:v>7.5</c:v>
                </c:pt>
                <c:pt idx="36">
                  <c:v>6</c:v>
                </c:pt>
                <c:pt idx="37">
                  <c:v>4.5</c:v>
                </c:pt>
                <c:pt idx="38">
                  <c:v>3</c:v>
                </c:pt>
                <c:pt idx="39">
                  <c:v>1.5</c:v>
                </c:pt>
                <c:pt idx="40">
                  <c:v>0</c:v>
                </c:pt>
                <c:pt idx="41">
                  <c:v>-1.5</c:v>
                </c:pt>
                <c:pt idx="42">
                  <c:v>-3</c:v>
                </c:pt>
                <c:pt idx="43">
                  <c:v>-4.5</c:v>
                </c:pt>
                <c:pt idx="44">
                  <c:v>-6</c:v>
                </c:pt>
                <c:pt idx="45">
                  <c:v>-7.5</c:v>
                </c:pt>
                <c:pt idx="46">
                  <c:v>-9</c:v>
                </c:pt>
                <c:pt idx="47">
                  <c:v>-10.5</c:v>
                </c:pt>
                <c:pt idx="48">
                  <c:v>-12</c:v>
                </c:pt>
                <c:pt idx="49">
                  <c:v>-13.5</c:v>
                </c:pt>
                <c:pt idx="50">
                  <c:v>-15</c:v>
                </c:pt>
                <c:pt idx="51">
                  <c:v>-16.5</c:v>
                </c:pt>
                <c:pt idx="52">
                  <c:v>-18</c:v>
                </c:pt>
                <c:pt idx="53">
                  <c:v>-19.5</c:v>
                </c:pt>
                <c:pt idx="54">
                  <c:v>-21</c:v>
                </c:pt>
                <c:pt idx="55">
                  <c:v>-22.5</c:v>
                </c:pt>
                <c:pt idx="56">
                  <c:v>-24</c:v>
                </c:pt>
                <c:pt idx="57">
                  <c:v>-25.5</c:v>
                </c:pt>
                <c:pt idx="58">
                  <c:v>-27</c:v>
                </c:pt>
                <c:pt idx="59">
                  <c:v>-28.5</c:v>
                </c:pt>
                <c:pt idx="60">
                  <c:v>-30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E4-4E1C-87CA-3DDB20BA558B}"/>
            </c:ext>
          </c:extLst>
        </c:ser>
        <c:ser>
          <c:idx val="0"/>
          <c:order val="1"/>
          <c:tx>
            <c:v>OFFERTA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'ESE-2 DOMANDAOFFERTA'!$B$3:$B$63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xVal>
          <c:yVal>
            <c:numRef>
              <c:f>'ESE-2 DOMANDAOFFERTA'!$C$3:$C$63</c:f>
              <c:numCache>
                <c:formatCode>General</c:formatCode>
                <c:ptCount val="61"/>
                <c:pt idx="0">
                  <c:v>-10</c:v>
                </c:pt>
                <c:pt idx="1">
                  <c:v>-9</c:v>
                </c:pt>
                <c:pt idx="2">
                  <c:v>-8</c:v>
                </c:pt>
                <c:pt idx="3">
                  <c:v>-7</c:v>
                </c:pt>
                <c:pt idx="4">
                  <c:v>-6</c:v>
                </c:pt>
                <c:pt idx="5">
                  <c:v>-5</c:v>
                </c:pt>
                <c:pt idx="6">
                  <c:v>-4</c:v>
                </c:pt>
                <c:pt idx="7">
                  <c:v>-3</c:v>
                </c:pt>
                <c:pt idx="8">
                  <c:v>-2</c:v>
                </c:pt>
                <c:pt idx="9">
                  <c:v>-1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  <c:pt idx="14">
                  <c:v>4</c:v>
                </c:pt>
                <c:pt idx="15">
                  <c:v>5</c:v>
                </c:pt>
                <c:pt idx="16">
                  <c:v>6</c:v>
                </c:pt>
                <c:pt idx="17">
                  <c:v>7</c:v>
                </c:pt>
                <c:pt idx="18">
                  <c:v>8</c:v>
                </c:pt>
                <c:pt idx="19">
                  <c:v>9</c:v>
                </c:pt>
                <c:pt idx="20">
                  <c:v>10</c:v>
                </c:pt>
                <c:pt idx="21">
                  <c:v>11</c:v>
                </c:pt>
                <c:pt idx="22">
                  <c:v>12</c:v>
                </c:pt>
                <c:pt idx="23">
                  <c:v>13</c:v>
                </c:pt>
                <c:pt idx="24">
                  <c:v>14</c:v>
                </c:pt>
                <c:pt idx="25">
                  <c:v>15</c:v>
                </c:pt>
                <c:pt idx="26">
                  <c:v>16</c:v>
                </c:pt>
                <c:pt idx="27">
                  <c:v>17</c:v>
                </c:pt>
                <c:pt idx="28">
                  <c:v>18</c:v>
                </c:pt>
                <c:pt idx="29">
                  <c:v>19</c:v>
                </c:pt>
                <c:pt idx="30">
                  <c:v>20</c:v>
                </c:pt>
                <c:pt idx="31">
                  <c:v>21</c:v>
                </c:pt>
                <c:pt idx="32">
                  <c:v>22</c:v>
                </c:pt>
                <c:pt idx="33">
                  <c:v>23</c:v>
                </c:pt>
                <c:pt idx="34">
                  <c:v>24</c:v>
                </c:pt>
                <c:pt idx="35">
                  <c:v>25</c:v>
                </c:pt>
                <c:pt idx="36">
                  <c:v>26</c:v>
                </c:pt>
                <c:pt idx="37">
                  <c:v>27</c:v>
                </c:pt>
                <c:pt idx="38">
                  <c:v>28</c:v>
                </c:pt>
                <c:pt idx="39">
                  <c:v>29</c:v>
                </c:pt>
                <c:pt idx="40">
                  <c:v>30</c:v>
                </c:pt>
                <c:pt idx="41">
                  <c:v>31</c:v>
                </c:pt>
                <c:pt idx="42">
                  <c:v>32</c:v>
                </c:pt>
                <c:pt idx="43">
                  <c:v>33</c:v>
                </c:pt>
                <c:pt idx="44">
                  <c:v>34</c:v>
                </c:pt>
                <c:pt idx="45">
                  <c:v>35</c:v>
                </c:pt>
                <c:pt idx="46">
                  <c:v>36</c:v>
                </c:pt>
                <c:pt idx="47">
                  <c:v>37</c:v>
                </c:pt>
                <c:pt idx="48">
                  <c:v>38</c:v>
                </c:pt>
                <c:pt idx="49">
                  <c:v>39</c:v>
                </c:pt>
                <c:pt idx="50">
                  <c:v>40</c:v>
                </c:pt>
                <c:pt idx="51">
                  <c:v>41</c:v>
                </c:pt>
                <c:pt idx="52">
                  <c:v>42</c:v>
                </c:pt>
                <c:pt idx="53">
                  <c:v>43</c:v>
                </c:pt>
                <c:pt idx="54">
                  <c:v>44</c:v>
                </c:pt>
                <c:pt idx="55">
                  <c:v>45</c:v>
                </c:pt>
                <c:pt idx="56">
                  <c:v>46</c:v>
                </c:pt>
                <c:pt idx="57">
                  <c:v>47</c:v>
                </c:pt>
                <c:pt idx="58">
                  <c:v>48</c:v>
                </c:pt>
                <c:pt idx="59">
                  <c:v>49</c:v>
                </c:pt>
                <c:pt idx="6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A65-B349-9F82-21A14F5CB4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80138304"/>
        <c:axId val="1659733952"/>
      </c:scatterChart>
      <c:valAx>
        <c:axId val="1580138304"/>
        <c:scaling>
          <c:orientation val="minMax"/>
          <c:max val="6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PREZZO DI UN PASTO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659733952"/>
        <c:crosses val="autoZero"/>
        <c:crossBetween val="midCat"/>
      </c:valAx>
      <c:valAx>
        <c:axId val="1659733952"/>
        <c:scaling>
          <c:orientation val="minMax"/>
          <c:min val="-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PASTI</a:t>
                </a:r>
                <a:r>
                  <a:rPr lang="it-IT" baseline="0"/>
                  <a:t> x 100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5801383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137160</xdr:colOff>
      <xdr:row>2</xdr:row>
      <xdr:rowOff>3810</xdr:rowOff>
    </xdr:from>
    <xdr:to>
      <xdr:col>18</xdr:col>
      <xdr:colOff>441960</xdr:colOff>
      <xdr:row>16</xdr:row>
      <xdr:rowOff>3810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80010</xdr:colOff>
      <xdr:row>16</xdr:row>
      <xdr:rowOff>72390</xdr:rowOff>
    </xdr:from>
    <xdr:to>
      <xdr:col>18</xdr:col>
      <xdr:colOff>384810</xdr:colOff>
      <xdr:row>31</xdr:row>
      <xdr:rowOff>72390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241300</xdr:colOff>
      <xdr:row>3</xdr:row>
      <xdr:rowOff>129540</xdr:rowOff>
    </xdr:from>
    <xdr:to>
      <xdr:col>26</xdr:col>
      <xdr:colOff>7620</xdr:colOff>
      <xdr:row>49</xdr:row>
      <xdr:rowOff>12700</xdr:rowOff>
    </xdr:to>
    <xdr:graphicFrame macro="">
      <xdr:nvGraphicFramePr>
        <xdr:cNvPr id="4" name="Grafico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279400</xdr:colOff>
      <xdr:row>30</xdr:row>
      <xdr:rowOff>50800</xdr:rowOff>
    </xdr:from>
    <xdr:to>
      <xdr:col>16</xdr:col>
      <xdr:colOff>477520</xdr:colOff>
      <xdr:row>30</xdr:row>
      <xdr:rowOff>50800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 flipH="1">
          <a:off x="6337300" y="5765800"/>
          <a:ext cx="490982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558800</xdr:colOff>
      <xdr:row>30</xdr:row>
      <xdr:rowOff>109220</xdr:rowOff>
    </xdr:from>
    <xdr:to>
      <xdr:col>16</xdr:col>
      <xdr:colOff>558800</xdr:colOff>
      <xdr:row>37</xdr:row>
      <xdr:rowOff>63500</xdr:rowOff>
    </xdr:to>
    <xdr:cxnSp macro="">
      <xdr:nvCxnSpPr>
        <xdr:cNvPr id="8" name="Connettore 2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 flipH="1">
          <a:off x="11328400" y="5824220"/>
          <a:ext cx="0" cy="1287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373380</xdr:colOff>
      <xdr:row>29</xdr:row>
      <xdr:rowOff>177800</xdr:rowOff>
    </xdr:from>
    <xdr:to>
      <xdr:col>9</xdr:col>
      <xdr:colOff>114300</xdr:colOff>
      <xdr:row>31</xdr:row>
      <xdr:rowOff>76200</xdr:rowOff>
    </xdr:to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 txBox="1"/>
      </xdr:nvSpPr>
      <xdr:spPr>
        <a:xfrm>
          <a:off x="5758180" y="5702300"/>
          <a:ext cx="414020" cy="279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chemeClr val="tx1"/>
              </a:solidFill>
            </a:rPr>
            <a:t>18</a:t>
          </a:r>
        </a:p>
      </xdr:txBody>
    </xdr:sp>
    <xdr:clientData/>
  </xdr:twoCellAnchor>
  <xdr:twoCellAnchor>
    <xdr:from>
      <xdr:col>16</xdr:col>
      <xdr:colOff>337820</xdr:colOff>
      <xdr:row>37</xdr:row>
      <xdr:rowOff>167640</xdr:rowOff>
    </xdr:from>
    <xdr:to>
      <xdr:col>17</xdr:col>
      <xdr:colOff>0</xdr:colOff>
      <xdr:row>39</xdr:row>
      <xdr:rowOff>63500</xdr:rowOff>
    </xdr:to>
    <xdr:sp macro="" textlink="">
      <xdr:nvSpPr>
        <xdr:cNvPr id="10" name="CasellaDiTesto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 txBox="1"/>
      </xdr:nvSpPr>
      <xdr:spPr>
        <a:xfrm>
          <a:off x="11107420" y="7216140"/>
          <a:ext cx="335280" cy="2768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>
              <a:solidFill>
                <a:schemeClr val="tx1"/>
              </a:solidFill>
            </a:rPr>
            <a:t>28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8"/>
  <sheetViews>
    <sheetView workbookViewId="0">
      <selection activeCell="I29" sqref="I29"/>
    </sheetView>
  </sheetViews>
  <sheetFormatPr baseColWidth="10" defaultColWidth="8.83203125" defaultRowHeight="15" x14ac:dyDescent="0.2"/>
  <cols>
    <col min="8" max="8" width="14.5" customWidth="1"/>
  </cols>
  <sheetData>
    <row r="2" spans="1:9" x14ac:dyDescent="0.2">
      <c r="A2" t="s">
        <v>0</v>
      </c>
      <c r="B2" t="s">
        <v>1</v>
      </c>
      <c r="C2" t="s">
        <v>7</v>
      </c>
      <c r="D2" t="s">
        <v>8</v>
      </c>
      <c r="E2" t="s">
        <v>2</v>
      </c>
    </row>
    <row r="3" spans="1:9" x14ac:dyDescent="0.2">
      <c r="A3" s="3">
        <v>0</v>
      </c>
      <c r="B3">
        <v>0</v>
      </c>
      <c r="C3">
        <v>6</v>
      </c>
      <c r="D3">
        <v>2</v>
      </c>
      <c r="E3">
        <v>10</v>
      </c>
      <c r="G3" t="s">
        <v>3</v>
      </c>
      <c r="I3" t="s">
        <v>4</v>
      </c>
    </row>
    <row r="4" spans="1:9" x14ac:dyDescent="0.2">
      <c r="A4" s="3">
        <v>1</v>
      </c>
      <c r="B4">
        <v>1</v>
      </c>
      <c r="G4">
        <f>E3/D3</f>
        <v>5</v>
      </c>
      <c r="I4" s="1">
        <f>E3/C3</f>
        <v>1.6666666666666667</v>
      </c>
    </row>
    <row r="5" spans="1:9" x14ac:dyDescent="0.2">
      <c r="A5" s="3">
        <v>2</v>
      </c>
      <c r="B5">
        <v>2</v>
      </c>
    </row>
    <row r="6" spans="1:9" x14ac:dyDescent="0.2">
      <c r="A6" s="3">
        <v>3</v>
      </c>
      <c r="B6">
        <v>3</v>
      </c>
    </row>
    <row r="7" spans="1:9" x14ac:dyDescent="0.2">
      <c r="A7" s="3">
        <v>4</v>
      </c>
      <c r="B7">
        <v>4</v>
      </c>
    </row>
    <row r="8" spans="1:9" x14ac:dyDescent="0.2">
      <c r="A8" s="3">
        <v>5</v>
      </c>
      <c r="B8">
        <v>5</v>
      </c>
      <c r="G8" t="s">
        <v>9</v>
      </c>
    </row>
    <row r="9" spans="1:9" x14ac:dyDescent="0.2">
      <c r="A9" s="3">
        <v>6</v>
      </c>
      <c r="B9">
        <v>6</v>
      </c>
      <c r="G9" t="s">
        <v>5</v>
      </c>
      <c r="H9" t="s">
        <v>6</v>
      </c>
    </row>
    <row r="10" spans="1:9" x14ac:dyDescent="0.2">
      <c r="A10" s="3"/>
      <c r="G10">
        <v>0</v>
      </c>
      <c r="H10">
        <f>G4</f>
        <v>5</v>
      </c>
    </row>
    <row r="11" spans="1:9" x14ac:dyDescent="0.2">
      <c r="G11">
        <v>1</v>
      </c>
      <c r="H11" s="2">
        <f>($E$3/$D$3)-(($C$3/$D$3)*G11)</f>
        <v>2</v>
      </c>
    </row>
    <row r="13" spans="1:9" x14ac:dyDescent="0.2">
      <c r="G13" t="s">
        <v>10</v>
      </c>
    </row>
    <row r="14" spans="1:9" x14ac:dyDescent="0.2">
      <c r="G14">
        <v>1</v>
      </c>
      <c r="H14">
        <f>($E$3/$C$3)-(($D$3/$C$3)*G14)</f>
        <v>1.3333333333333335</v>
      </c>
    </row>
    <row r="15" spans="1:9" x14ac:dyDescent="0.2">
      <c r="G15">
        <v>2</v>
      </c>
      <c r="H15">
        <f t="shared" ref="H15:H18" si="0">($E$3/$C$3)-(($D$3/$C$3)*G15)</f>
        <v>1</v>
      </c>
    </row>
    <row r="16" spans="1:9" x14ac:dyDescent="0.2">
      <c r="G16">
        <v>3</v>
      </c>
      <c r="H16">
        <f t="shared" si="0"/>
        <v>0.66666666666666674</v>
      </c>
    </row>
    <row r="17" spans="7:8" x14ac:dyDescent="0.2">
      <c r="G17">
        <v>4</v>
      </c>
      <c r="H17">
        <f t="shared" si="0"/>
        <v>0.33333333333333348</v>
      </c>
    </row>
    <row r="18" spans="7:8" x14ac:dyDescent="0.2">
      <c r="G18">
        <v>5</v>
      </c>
      <c r="H18">
        <f t="shared" si="0"/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71"/>
  <sheetViews>
    <sheetView tabSelected="1" workbookViewId="0">
      <selection activeCell="K75" sqref="K75"/>
    </sheetView>
  </sheetViews>
  <sheetFormatPr baseColWidth="10" defaultColWidth="8.83203125" defaultRowHeight="15" x14ac:dyDescent="0.2"/>
  <cols>
    <col min="1" max="3" width="8.83203125" style="4"/>
  </cols>
  <sheetData>
    <row r="2" spans="1:3" x14ac:dyDescent="0.2">
      <c r="A2" s="5" t="s">
        <v>11</v>
      </c>
      <c r="B2" s="5" t="s">
        <v>12</v>
      </c>
      <c r="C2" s="5" t="s">
        <v>13</v>
      </c>
    </row>
    <row r="3" spans="1:3" x14ac:dyDescent="0.2">
      <c r="A3" s="4">
        <f>60-1.5*B3</f>
        <v>60</v>
      </c>
      <c r="B3" s="4">
        <v>0</v>
      </c>
      <c r="C3" s="4">
        <f>-10+B3</f>
        <v>-10</v>
      </c>
    </row>
    <row r="4" spans="1:3" x14ac:dyDescent="0.2">
      <c r="A4" s="4">
        <f t="shared" ref="A4:A63" si="0">60-1.5*B4</f>
        <v>58.5</v>
      </c>
      <c r="B4" s="4">
        <v>1</v>
      </c>
      <c r="C4" s="4">
        <f t="shared" ref="C4:C63" si="1">-10+B4</f>
        <v>-9</v>
      </c>
    </row>
    <row r="5" spans="1:3" x14ac:dyDescent="0.2">
      <c r="A5" s="4">
        <f t="shared" si="0"/>
        <v>57</v>
      </c>
      <c r="B5" s="4">
        <v>2</v>
      </c>
      <c r="C5" s="4">
        <f t="shared" si="1"/>
        <v>-8</v>
      </c>
    </row>
    <row r="6" spans="1:3" x14ac:dyDescent="0.2">
      <c r="A6" s="4">
        <f t="shared" si="0"/>
        <v>55.5</v>
      </c>
      <c r="B6" s="4">
        <v>3</v>
      </c>
      <c r="C6" s="4">
        <f t="shared" si="1"/>
        <v>-7</v>
      </c>
    </row>
    <row r="7" spans="1:3" x14ac:dyDescent="0.2">
      <c r="A7" s="4">
        <f t="shared" si="0"/>
        <v>54</v>
      </c>
      <c r="B7" s="4">
        <v>4</v>
      </c>
      <c r="C7" s="4">
        <f t="shared" si="1"/>
        <v>-6</v>
      </c>
    </row>
    <row r="8" spans="1:3" x14ac:dyDescent="0.2">
      <c r="A8" s="4">
        <f t="shared" si="0"/>
        <v>52.5</v>
      </c>
      <c r="B8" s="4">
        <v>5</v>
      </c>
      <c r="C8" s="4">
        <f t="shared" si="1"/>
        <v>-5</v>
      </c>
    </row>
    <row r="9" spans="1:3" x14ac:dyDescent="0.2">
      <c r="A9" s="4">
        <f t="shared" si="0"/>
        <v>51</v>
      </c>
      <c r="B9" s="4">
        <v>6</v>
      </c>
      <c r="C9" s="4">
        <f t="shared" si="1"/>
        <v>-4</v>
      </c>
    </row>
    <row r="10" spans="1:3" x14ac:dyDescent="0.2">
      <c r="A10" s="4">
        <f t="shared" si="0"/>
        <v>49.5</v>
      </c>
      <c r="B10" s="4">
        <v>7</v>
      </c>
      <c r="C10" s="4">
        <f t="shared" si="1"/>
        <v>-3</v>
      </c>
    </row>
    <row r="11" spans="1:3" x14ac:dyDescent="0.2">
      <c r="A11" s="4">
        <f t="shared" si="0"/>
        <v>48</v>
      </c>
      <c r="B11" s="4">
        <v>8</v>
      </c>
      <c r="C11" s="4">
        <f t="shared" si="1"/>
        <v>-2</v>
      </c>
    </row>
    <row r="12" spans="1:3" x14ac:dyDescent="0.2">
      <c r="A12" s="4">
        <f t="shared" si="0"/>
        <v>46.5</v>
      </c>
      <c r="B12" s="4">
        <v>9</v>
      </c>
      <c r="C12" s="4">
        <f t="shared" si="1"/>
        <v>-1</v>
      </c>
    </row>
    <row r="13" spans="1:3" x14ac:dyDescent="0.2">
      <c r="A13" s="4">
        <f t="shared" si="0"/>
        <v>45</v>
      </c>
      <c r="B13" s="4">
        <v>10</v>
      </c>
      <c r="C13" s="4">
        <f t="shared" si="1"/>
        <v>0</v>
      </c>
    </row>
    <row r="14" spans="1:3" x14ac:dyDescent="0.2">
      <c r="A14" s="4">
        <f t="shared" si="0"/>
        <v>43.5</v>
      </c>
      <c r="B14" s="4">
        <v>11</v>
      </c>
      <c r="C14" s="4">
        <f t="shared" si="1"/>
        <v>1</v>
      </c>
    </row>
    <row r="15" spans="1:3" x14ac:dyDescent="0.2">
      <c r="A15" s="4">
        <f t="shared" si="0"/>
        <v>42</v>
      </c>
      <c r="B15" s="4">
        <v>12</v>
      </c>
      <c r="C15" s="4">
        <f t="shared" si="1"/>
        <v>2</v>
      </c>
    </row>
    <row r="16" spans="1:3" x14ac:dyDescent="0.2">
      <c r="A16" s="4">
        <f t="shared" si="0"/>
        <v>40.5</v>
      </c>
      <c r="B16" s="4">
        <v>13</v>
      </c>
      <c r="C16" s="4">
        <f t="shared" si="1"/>
        <v>3</v>
      </c>
    </row>
    <row r="17" spans="1:3" x14ac:dyDescent="0.2">
      <c r="A17" s="4">
        <f t="shared" si="0"/>
        <v>39</v>
      </c>
      <c r="B17" s="4">
        <v>14</v>
      </c>
      <c r="C17" s="4">
        <f t="shared" si="1"/>
        <v>4</v>
      </c>
    </row>
    <row r="18" spans="1:3" x14ac:dyDescent="0.2">
      <c r="A18" s="4">
        <f t="shared" si="0"/>
        <v>37.5</v>
      </c>
      <c r="B18" s="4">
        <v>15</v>
      </c>
      <c r="C18" s="4">
        <f t="shared" si="1"/>
        <v>5</v>
      </c>
    </row>
    <row r="19" spans="1:3" x14ac:dyDescent="0.2">
      <c r="A19" s="4">
        <f t="shared" si="0"/>
        <v>36</v>
      </c>
      <c r="B19" s="4">
        <v>16</v>
      </c>
      <c r="C19" s="4">
        <f t="shared" si="1"/>
        <v>6</v>
      </c>
    </row>
    <row r="20" spans="1:3" x14ac:dyDescent="0.2">
      <c r="A20" s="4">
        <f t="shared" si="0"/>
        <v>34.5</v>
      </c>
      <c r="B20" s="4">
        <v>17</v>
      </c>
      <c r="C20" s="4">
        <f t="shared" si="1"/>
        <v>7</v>
      </c>
    </row>
    <row r="21" spans="1:3" x14ac:dyDescent="0.2">
      <c r="A21" s="4">
        <f t="shared" si="0"/>
        <v>33</v>
      </c>
      <c r="B21" s="4">
        <v>18</v>
      </c>
      <c r="C21" s="4">
        <f t="shared" si="1"/>
        <v>8</v>
      </c>
    </row>
    <row r="22" spans="1:3" x14ac:dyDescent="0.2">
      <c r="A22" s="4">
        <f t="shared" si="0"/>
        <v>31.5</v>
      </c>
      <c r="B22" s="4">
        <v>19</v>
      </c>
      <c r="C22" s="4">
        <f t="shared" si="1"/>
        <v>9</v>
      </c>
    </row>
    <row r="23" spans="1:3" x14ac:dyDescent="0.2">
      <c r="A23" s="4">
        <f t="shared" si="0"/>
        <v>30</v>
      </c>
      <c r="B23" s="4">
        <v>20</v>
      </c>
      <c r="C23" s="4">
        <f t="shared" si="1"/>
        <v>10</v>
      </c>
    </row>
    <row r="24" spans="1:3" x14ac:dyDescent="0.2">
      <c r="A24" s="4">
        <f t="shared" si="0"/>
        <v>28.5</v>
      </c>
      <c r="B24" s="4">
        <v>21</v>
      </c>
      <c r="C24" s="4">
        <f t="shared" si="1"/>
        <v>11</v>
      </c>
    </row>
    <row r="25" spans="1:3" x14ac:dyDescent="0.2">
      <c r="A25" s="4">
        <f t="shared" si="0"/>
        <v>27</v>
      </c>
      <c r="B25" s="4">
        <v>22</v>
      </c>
      <c r="C25" s="4">
        <f t="shared" si="1"/>
        <v>12</v>
      </c>
    </row>
    <row r="26" spans="1:3" x14ac:dyDescent="0.2">
      <c r="A26" s="4">
        <f t="shared" si="0"/>
        <v>25.5</v>
      </c>
      <c r="B26" s="4">
        <v>23</v>
      </c>
      <c r="C26" s="4">
        <f t="shared" si="1"/>
        <v>13</v>
      </c>
    </row>
    <row r="27" spans="1:3" x14ac:dyDescent="0.2">
      <c r="A27" s="4">
        <f t="shared" si="0"/>
        <v>24</v>
      </c>
      <c r="B27" s="4">
        <v>24</v>
      </c>
      <c r="C27" s="4">
        <f t="shared" si="1"/>
        <v>14</v>
      </c>
    </row>
    <row r="28" spans="1:3" x14ac:dyDescent="0.2">
      <c r="A28" s="4">
        <f t="shared" si="0"/>
        <v>22.5</v>
      </c>
      <c r="B28" s="4">
        <v>25</v>
      </c>
      <c r="C28" s="4">
        <f t="shared" si="1"/>
        <v>15</v>
      </c>
    </row>
    <row r="29" spans="1:3" x14ac:dyDescent="0.2">
      <c r="A29" s="4">
        <f t="shared" si="0"/>
        <v>21</v>
      </c>
      <c r="B29" s="4">
        <v>26</v>
      </c>
      <c r="C29" s="4">
        <f t="shared" si="1"/>
        <v>16</v>
      </c>
    </row>
    <row r="30" spans="1:3" x14ac:dyDescent="0.2">
      <c r="A30" s="4">
        <f t="shared" si="0"/>
        <v>19.5</v>
      </c>
      <c r="B30" s="4">
        <v>27</v>
      </c>
      <c r="C30" s="4">
        <f t="shared" si="1"/>
        <v>17</v>
      </c>
    </row>
    <row r="31" spans="1:3" x14ac:dyDescent="0.2">
      <c r="A31" s="4">
        <f t="shared" si="0"/>
        <v>18</v>
      </c>
      <c r="B31" s="4">
        <v>28</v>
      </c>
      <c r="C31" s="4">
        <f t="shared" si="1"/>
        <v>18</v>
      </c>
    </row>
    <row r="32" spans="1:3" x14ac:dyDescent="0.2">
      <c r="A32" s="4">
        <f t="shared" si="0"/>
        <v>16.5</v>
      </c>
      <c r="B32" s="4">
        <v>29</v>
      </c>
      <c r="C32" s="4">
        <f t="shared" si="1"/>
        <v>19</v>
      </c>
    </row>
    <row r="33" spans="1:3" x14ac:dyDescent="0.2">
      <c r="A33" s="4">
        <f t="shared" si="0"/>
        <v>15</v>
      </c>
      <c r="B33" s="4">
        <v>30</v>
      </c>
      <c r="C33" s="4">
        <f t="shared" si="1"/>
        <v>20</v>
      </c>
    </row>
    <row r="34" spans="1:3" x14ac:dyDescent="0.2">
      <c r="A34" s="4">
        <f t="shared" si="0"/>
        <v>13.5</v>
      </c>
      <c r="B34" s="4">
        <v>31</v>
      </c>
      <c r="C34" s="4">
        <f t="shared" si="1"/>
        <v>21</v>
      </c>
    </row>
    <row r="35" spans="1:3" x14ac:dyDescent="0.2">
      <c r="A35" s="4">
        <f t="shared" si="0"/>
        <v>12</v>
      </c>
      <c r="B35" s="4">
        <v>32</v>
      </c>
      <c r="C35" s="4">
        <f t="shared" si="1"/>
        <v>22</v>
      </c>
    </row>
    <row r="36" spans="1:3" x14ac:dyDescent="0.2">
      <c r="A36" s="4">
        <f t="shared" si="0"/>
        <v>10.5</v>
      </c>
      <c r="B36" s="4">
        <v>33</v>
      </c>
      <c r="C36" s="4">
        <f t="shared" si="1"/>
        <v>23</v>
      </c>
    </row>
    <row r="37" spans="1:3" x14ac:dyDescent="0.2">
      <c r="A37" s="4">
        <f t="shared" si="0"/>
        <v>9</v>
      </c>
      <c r="B37" s="4">
        <v>34</v>
      </c>
      <c r="C37" s="4">
        <f t="shared" si="1"/>
        <v>24</v>
      </c>
    </row>
    <row r="38" spans="1:3" x14ac:dyDescent="0.2">
      <c r="A38" s="4">
        <f t="shared" si="0"/>
        <v>7.5</v>
      </c>
      <c r="B38" s="4">
        <v>35</v>
      </c>
      <c r="C38" s="4">
        <f t="shared" si="1"/>
        <v>25</v>
      </c>
    </row>
    <row r="39" spans="1:3" x14ac:dyDescent="0.2">
      <c r="A39" s="4">
        <f t="shared" si="0"/>
        <v>6</v>
      </c>
      <c r="B39" s="4">
        <v>36</v>
      </c>
      <c r="C39" s="4">
        <f t="shared" si="1"/>
        <v>26</v>
      </c>
    </row>
    <row r="40" spans="1:3" x14ac:dyDescent="0.2">
      <c r="A40" s="4">
        <f t="shared" si="0"/>
        <v>4.5</v>
      </c>
      <c r="B40" s="4">
        <v>37</v>
      </c>
      <c r="C40" s="4">
        <f t="shared" si="1"/>
        <v>27</v>
      </c>
    </row>
    <row r="41" spans="1:3" x14ac:dyDescent="0.2">
      <c r="A41" s="4">
        <f t="shared" si="0"/>
        <v>3</v>
      </c>
      <c r="B41" s="4">
        <v>38</v>
      </c>
      <c r="C41" s="4">
        <f t="shared" si="1"/>
        <v>28</v>
      </c>
    </row>
    <row r="42" spans="1:3" x14ac:dyDescent="0.2">
      <c r="A42" s="4">
        <f t="shared" si="0"/>
        <v>1.5</v>
      </c>
      <c r="B42" s="4">
        <v>39</v>
      </c>
      <c r="C42" s="4">
        <f t="shared" si="1"/>
        <v>29</v>
      </c>
    </row>
    <row r="43" spans="1:3" x14ac:dyDescent="0.2">
      <c r="A43" s="4">
        <f t="shared" si="0"/>
        <v>0</v>
      </c>
      <c r="B43" s="4">
        <v>40</v>
      </c>
      <c r="C43" s="4">
        <f t="shared" si="1"/>
        <v>30</v>
      </c>
    </row>
    <row r="44" spans="1:3" x14ac:dyDescent="0.2">
      <c r="A44" s="4">
        <f t="shared" si="0"/>
        <v>-1.5</v>
      </c>
      <c r="B44" s="4">
        <v>41</v>
      </c>
      <c r="C44" s="4">
        <f t="shared" si="1"/>
        <v>31</v>
      </c>
    </row>
    <row r="45" spans="1:3" x14ac:dyDescent="0.2">
      <c r="A45" s="4">
        <f t="shared" si="0"/>
        <v>-3</v>
      </c>
      <c r="B45" s="4">
        <v>42</v>
      </c>
      <c r="C45" s="4">
        <f t="shared" si="1"/>
        <v>32</v>
      </c>
    </row>
    <row r="46" spans="1:3" x14ac:dyDescent="0.2">
      <c r="A46" s="4">
        <f t="shared" si="0"/>
        <v>-4.5</v>
      </c>
      <c r="B46" s="4">
        <v>43</v>
      </c>
      <c r="C46" s="4">
        <f t="shared" si="1"/>
        <v>33</v>
      </c>
    </row>
    <row r="47" spans="1:3" x14ac:dyDescent="0.2">
      <c r="A47" s="4">
        <f t="shared" si="0"/>
        <v>-6</v>
      </c>
      <c r="B47" s="4">
        <v>44</v>
      </c>
      <c r="C47" s="4">
        <f t="shared" si="1"/>
        <v>34</v>
      </c>
    </row>
    <row r="48" spans="1:3" x14ac:dyDescent="0.2">
      <c r="A48" s="4">
        <f t="shared" si="0"/>
        <v>-7.5</v>
      </c>
      <c r="B48" s="4">
        <v>45</v>
      </c>
      <c r="C48" s="4">
        <f t="shared" si="1"/>
        <v>35</v>
      </c>
    </row>
    <row r="49" spans="1:7" x14ac:dyDescent="0.2">
      <c r="A49" s="4">
        <f t="shared" si="0"/>
        <v>-9</v>
      </c>
      <c r="B49" s="4">
        <v>46</v>
      </c>
      <c r="C49" s="4">
        <f t="shared" si="1"/>
        <v>36</v>
      </c>
    </row>
    <row r="50" spans="1:7" x14ac:dyDescent="0.2">
      <c r="A50" s="4">
        <f t="shared" si="0"/>
        <v>-10.5</v>
      </c>
      <c r="B50" s="4">
        <v>47</v>
      </c>
      <c r="C50" s="4">
        <f t="shared" si="1"/>
        <v>37</v>
      </c>
    </row>
    <row r="51" spans="1:7" x14ac:dyDescent="0.2">
      <c r="A51" s="4">
        <f t="shared" si="0"/>
        <v>-12</v>
      </c>
      <c r="B51" s="4">
        <v>48</v>
      </c>
      <c r="C51" s="4">
        <f t="shared" si="1"/>
        <v>38</v>
      </c>
    </row>
    <row r="52" spans="1:7" x14ac:dyDescent="0.2">
      <c r="A52" s="4">
        <f t="shared" si="0"/>
        <v>-13.5</v>
      </c>
      <c r="B52" s="4">
        <v>49</v>
      </c>
      <c r="C52" s="4">
        <f t="shared" si="1"/>
        <v>39</v>
      </c>
    </row>
    <row r="53" spans="1:7" x14ac:dyDescent="0.2">
      <c r="A53" s="4">
        <f t="shared" si="0"/>
        <v>-15</v>
      </c>
      <c r="B53" s="4">
        <v>50</v>
      </c>
      <c r="C53" s="4">
        <f t="shared" si="1"/>
        <v>40</v>
      </c>
    </row>
    <row r="54" spans="1:7" x14ac:dyDescent="0.2">
      <c r="A54" s="4">
        <f t="shared" si="0"/>
        <v>-16.5</v>
      </c>
      <c r="B54" s="4">
        <v>51</v>
      </c>
      <c r="C54" s="4">
        <f t="shared" si="1"/>
        <v>41</v>
      </c>
    </row>
    <row r="55" spans="1:7" x14ac:dyDescent="0.2">
      <c r="A55" s="4">
        <f t="shared" si="0"/>
        <v>-18</v>
      </c>
      <c r="B55" s="4">
        <v>52</v>
      </c>
      <c r="C55" s="4">
        <f t="shared" si="1"/>
        <v>42</v>
      </c>
    </row>
    <row r="56" spans="1:7" x14ac:dyDescent="0.2">
      <c r="A56" s="4">
        <f t="shared" si="0"/>
        <v>-19.5</v>
      </c>
      <c r="B56" s="4">
        <v>53</v>
      </c>
      <c r="C56" s="4">
        <f t="shared" si="1"/>
        <v>43</v>
      </c>
    </row>
    <row r="57" spans="1:7" x14ac:dyDescent="0.2">
      <c r="A57" s="4">
        <f t="shared" si="0"/>
        <v>-21</v>
      </c>
      <c r="B57" s="4">
        <v>54</v>
      </c>
      <c r="C57" s="4">
        <f t="shared" si="1"/>
        <v>44</v>
      </c>
    </row>
    <row r="58" spans="1:7" x14ac:dyDescent="0.2">
      <c r="A58" s="4">
        <f t="shared" si="0"/>
        <v>-22.5</v>
      </c>
      <c r="B58" s="4">
        <v>55</v>
      </c>
      <c r="C58" s="4">
        <f t="shared" si="1"/>
        <v>45</v>
      </c>
    </row>
    <row r="59" spans="1:7" x14ac:dyDescent="0.2">
      <c r="A59" s="4">
        <f t="shared" si="0"/>
        <v>-24</v>
      </c>
      <c r="B59" s="4">
        <v>56</v>
      </c>
      <c r="C59" s="4">
        <f t="shared" si="1"/>
        <v>46</v>
      </c>
    </row>
    <row r="60" spans="1:7" x14ac:dyDescent="0.2">
      <c r="A60" s="4">
        <f t="shared" si="0"/>
        <v>-25.5</v>
      </c>
      <c r="B60" s="4">
        <v>57</v>
      </c>
      <c r="C60" s="4">
        <f t="shared" si="1"/>
        <v>47</v>
      </c>
    </row>
    <row r="61" spans="1:7" x14ac:dyDescent="0.2">
      <c r="A61" s="4">
        <f t="shared" si="0"/>
        <v>-27</v>
      </c>
      <c r="B61" s="4">
        <v>58</v>
      </c>
      <c r="C61" s="4">
        <f t="shared" si="1"/>
        <v>48</v>
      </c>
    </row>
    <row r="62" spans="1:7" x14ac:dyDescent="0.2">
      <c r="A62" s="4">
        <f t="shared" si="0"/>
        <v>-28.5</v>
      </c>
      <c r="B62" s="4">
        <v>59</v>
      </c>
      <c r="C62" s="4">
        <f t="shared" si="1"/>
        <v>49</v>
      </c>
      <c r="G62" s="6"/>
    </row>
    <row r="63" spans="1:7" x14ac:dyDescent="0.2">
      <c r="A63" s="4">
        <f t="shared" si="0"/>
        <v>-30</v>
      </c>
      <c r="B63" s="4">
        <v>60</v>
      </c>
      <c r="C63" s="4">
        <f t="shared" si="1"/>
        <v>50</v>
      </c>
    </row>
    <row r="66" spans="6:15" ht="16" customHeight="1" x14ac:dyDescent="0.2">
      <c r="F66" s="8" t="s">
        <v>14</v>
      </c>
      <c r="G66" s="7"/>
      <c r="H66" s="7"/>
      <c r="I66" s="7"/>
      <c r="J66" s="7"/>
      <c r="K66" s="7"/>
      <c r="L66" s="7"/>
      <c r="M66" s="7"/>
      <c r="N66" s="7"/>
      <c r="O66" s="7"/>
    </row>
    <row r="67" spans="6:15" ht="16" customHeight="1" x14ac:dyDescent="0.2">
      <c r="F67" s="7"/>
      <c r="G67" s="7"/>
      <c r="H67" s="7"/>
      <c r="I67" s="7"/>
      <c r="J67" s="7"/>
      <c r="K67" s="7"/>
      <c r="L67" s="7"/>
      <c r="M67" s="7"/>
      <c r="N67" s="7"/>
      <c r="O67" s="7"/>
    </row>
    <row r="68" spans="6:15" x14ac:dyDescent="0.2">
      <c r="F68" s="7"/>
      <c r="G68" s="7"/>
      <c r="H68" s="7"/>
      <c r="I68" s="7"/>
      <c r="J68" s="7"/>
      <c r="K68" s="7"/>
      <c r="L68" s="7"/>
      <c r="M68" s="7"/>
      <c r="N68" s="7"/>
      <c r="O68" s="7"/>
    </row>
    <row r="69" spans="6:15" ht="16" customHeight="1" x14ac:dyDescent="0.2">
      <c r="F69" s="7"/>
      <c r="G69" s="7"/>
      <c r="H69" s="7"/>
      <c r="I69" s="7"/>
      <c r="J69" s="7"/>
      <c r="K69" s="7"/>
      <c r="L69" s="7"/>
      <c r="M69" s="7"/>
      <c r="N69" s="7"/>
      <c r="O69" s="7"/>
    </row>
    <row r="70" spans="6:15" ht="16" customHeight="1" x14ac:dyDescent="0.2">
      <c r="F70" s="7"/>
      <c r="G70" s="7"/>
      <c r="H70" s="7"/>
      <c r="I70" s="7"/>
      <c r="J70" s="7"/>
      <c r="K70" s="7"/>
      <c r="L70" s="7"/>
      <c r="M70" s="7"/>
      <c r="N70" s="7"/>
      <c r="O70" s="7"/>
    </row>
    <row r="71" spans="6:15" ht="16" customHeight="1" x14ac:dyDescent="0.2">
      <c r="F71" s="7"/>
      <c r="G71" s="7"/>
      <c r="H71" s="7"/>
      <c r="I71" s="7"/>
      <c r="J71" s="7"/>
      <c r="K71" s="7"/>
      <c r="L71" s="7"/>
      <c r="M71" s="7"/>
      <c r="N71" s="7"/>
      <c r="O71" s="7"/>
    </row>
  </sheetData>
  <mergeCells count="1">
    <mergeCell ref="F66:O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VINCOLO DI BILANCIO</vt:lpstr>
      <vt:lpstr>ESE-2 DOMANDAOFFERTA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FreePC</dc:creator>
  <cp:lastModifiedBy>Perseghin Erika</cp:lastModifiedBy>
  <dcterms:created xsi:type="dcterms:W3CDTF">2023-10-01T13:22:53Z</dcterms:created>
  <dcterms:modified xsi:type="dcterms:W3CDTF">2023-10-02T13:38:48Z</dcterms:modified>
</cp:coreProperties>
</file>