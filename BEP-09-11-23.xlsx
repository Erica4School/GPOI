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erica/Downloads/"/>
    </mc:Choice>
  </mc:AlternateContent>
  <xr:revisionPtr revIDLastSave="0" documentId="13_ncr:1_{C008FD71-3A9B-5442-81C1-97BB124E4F3E}" xr6:coauthVersionLast="47" xr6:coauthVersionMax="47" xr10:uidLastSave="{00000000-0000-0000-0000-000000000000}"/>
  <bookViews>
    <workbookView xWindow="0" yWindow="500" windowWidth="31940" windowHeight="16860" xr2:uid="{00000000-000D-0000-FFFF-FFFF00000000}"/>
  </bookViews>
  <sheets>
    <sheet name="bep" sheetId="4" r:id="rId1"/>
    <sheet name="Foglio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" l="1"/>
  <c r="B6" i="4"/>
  <c r="A18" i="4"/>
  <c r="A19" i="4"/>
  <c r="A20" i="4"/>
  <c r="A21" i="4"/>
  <c r="A22" i="4"/>
  <c r="A23" i="4"/>
  <c r="A24" i="4"/>
  <c r="A25" i="4"/>
  <c r="B4" i="4"/>
  <c r="B7" i="4"/>
  <c r="B8" i="4"/>
  <c r="B9" i="4"/>
  <c r="B10" i="4"/>
  <c r="B11" i="4"/>
  <c r="B12" i="4"/>
  <c r="B13" i="4"/>
  <c r="B14" i="4"/>
</calcChain>
</file>

<file path=xl/sharedStrings.xml><?xml version="1.0" encoding="utf-8"?>
<sst xmlns="http://schemas.openxmlformats.org/spreadsheetml/2006/main" count="9" uniqueCount="8">
  <si>
    <t>PREZZO UNITARIO</t>
  </si>
  <si>
    <t>COSTO UNITARIO</t>
  </si>
  <si>
    <t>COSTI FISSI</t>
  </si>
  <si>
    <t>BREAK EVEN POINT</t>
  </si>
  <si>
    <t>quantita</t>
  </si>
  <si>
    <t>costo totale</t>
  </si>
  <si>
    <t>ricavo TOTALE</t>
  </si>
  <si>
    <t>spiegazione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</si>
</sst>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6"/>
      <color theme="1"/>
      <name val="Times New Roman"/>
      <family val="1"/>
    </font>
    <font>
      <sz val="6"/>
      <color rgb="FF000000"/>
      <name val="Arial"/>
      <family val="2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2" fontId="3" fillId="0" borderId="0" xfId="0" applyNumberFormat="1" applyFont="1"/>
    <xf numFmtId="0" fontId="2" fillId="0" borderId="2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BEP</a:t>
            </a:r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bep!$B$5</c:f>
              <c:strCache>
                <c:ptCount val="1"/>
                <c:pt idx="0">
                  <c:v>ricavo TOTALE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bep!$A$6:$A$14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xVal>
          <c:yVal>
            <c:numRef>
              <c:f>bep!$B$6:$B$14</c:f>
              <c:numCache>
                <c:formatCode>General</c:formatCode>
                <c:ptCount val="9"/>
                <c:pt idx="0">
                  <c:v>216800</c:v>
                </c:pt>
                <c:pt idx="1">
                  <c:v>433600</c:v>
                </c:pt>
                <c:pt idx="2">
                  <c:v>650400</c:v>
                </c:pt>
                <c:pt idx="3">
                  <c:v>867200</c:v>
                </c:pt>
                <c:pt idx="4">
                  <c:v>1084000</c:v>
                </c:pt>
                <c:pt idx="5">
                  <c:v>1300800</c:v>
                </c:pt>
                <c:pt idx="6">
                  <c:v>1517600</c:v>
                </c:pt>
                <c:pt idx="7">
                  <c:v>1734400</c:v>
                </c:pt>
                <c:pt idx="8">
                  <c:v>1951200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C-4C2F-A985-981826A9FB0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bep!$B$17:$B$25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xVal>
          <c:yVal>
            <c:numRef>
              <c:f>bep!$A$17:$A$25</c:f>
              <c:numCache>
                <c:formatCode>General</c:formatCode>
                <c:ptCount val="9"/>
                <c:pt idx="0">
                  <c:v>420000</c:v>
                </c:pt>
                <c:pt idx="1">
                  <c:v>480000</c:v>
                </c:pt>
                <c:pt idx="2">
                  <c:v>540000</c:v>
                </c:pt>
                <c:pt idx="3">
                  <c:v>600000</c:v>
                </c:pt>
                <c:pt idx="4">
                  <c:v>660000</c:v>
                </c:pt>
                <c:pt idx="5">
                  <c:v>720000</c:v>
                </c:pt>
                <c:pt idx="6">
                  <c:v>780000</c:v>
                </c:pt>
                <c:pt idx="7">
                  <c:v>840000</c:v>
                </c:pt>
                <c:pt idx="8">
                  <c:v>900000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8C-4C2F-A985-981826A9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829696"/>
        <c:axId val="1582820960"/>
      </c:scatterChart>
      <c:valAx>
        <c:axId val="158282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2820960"/>
        <c:crosses val="autoZero"/>
        <c:crossBetween val="midCat"/>
      </c:valAx>
      <c:valAx>
        <c:axId val="15828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282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7</xdr:row>
      <xdr:rowOff>50800</xdr:rowOff>
    </xdr:from>
    <xdr:to>
      <xdr:col>4</xdr:col>
      <xdr:colOff>4187825</xdr:colOff>
      <xdr:row>22</xdr:row>
      <xdr:rowOff>139700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444500</xdr:colOff>
      <xdr:row>15</xdr:row>
      <xdr:rowOff>0</xdr:rowOff>
    </xdr:from>
    <xdr:to>
      <xdr:col>20</xdr:col>
      <xdr:colOff>139700</xdr:colOff>
      <xdr:row>57</xdr:row>
      <xdr:rowOff>151384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1DAA9AE-B9BF-BA39-CB82-ADA5D841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41400" y="2908300"/>
          <a:ext cx="7772400" cy="815238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0.79097</cdr:x>
      <cdr:y>0.40312</cdr:y>
    </cdr:from>
    <cdr:to>
      <cdr:x>0.89097</cdr:x>
      <cdr:y>0.44543</cdr:y>
    </cdr:to>
    <cdr:sp macro="" textlink="">
      <cdr:nvSpPr>
        <cdr:cNvPr id="2" name="CasellaDiTesto 1"/>
        <cdr:cNvSpPr txBox="1"/>
      </cdr:nvSpPr>
      <cdr:spPr>
        <a:xfrm xmlns:a="http://schemas.openxmlformats.org/drawingml/2006/main">
          <a:off x="3616325" y="1149350"/>
          <a:ext cx="457200" cy="120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500"/>
            <a:t>ricavo</a:t>
          </a:r>
        </a:p>
      </cdr:txBody>
    </cdr:sp>
  </cdr:relSizeAnchor>
  <cdr:relSizeAnchor xmlns:cdr="http://schemas.openxmlformats.org/drawingml/2006/chartDrawing">
    <cdr:from>
      <cdr:x>0.73958</cdr:x>
      <cdr:y>0.67483</cdr:y>
    </cdr:from>
    <cdr:to>
      <cdr:x>0.86319</cdr:x>
      <cdr:y>0.77506</cdr:y>
    </cdr:to>
    <cdr:sp macro="" textlink="">
      <cdr:nvSpPr>
        <cdr:cNvPr id="3" name="CasellaDiTesto 2"/>
        <cdr:cNvSpPr txBox="1"/>
      </cdr:nvSpPr>
      <cdr:spPr>
        <a:xfrm xmlns:a="http://schemas.openxmlformats.org/drawingml/2006/main">
          <a:off x="3381375" y="1924050"/>
          <a:ext cx="5651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it-IT" sz="500"/>
            <a:t>costi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abSelected="1" workbookViewId="0">
      <selection activeCell="E29" sqref="E29"/>
    </sheetView>
  </sheetViews>
  <sheetFormatPr baseColWidth="10" defaultColWidth="8.83203125" defaultRowHeight="15" x14ac:dyDescent="0.2"/>
  <cols>
    <col min="1" max="1" width="18.33203125" customWidth="1"/>
    <col min="2" max="2" width="41.83203125" customWidth="1"/>
    <col min="5" max="5" width="70.1640625" customWidth="1"/>
  </cols>
  <sheetData>
    <row r="1" spans="1:10" ht="16" thickBot="1" x14ac:dyDescent="0.25">
      <c r="A1" s="2" t="s">
        <v>0</v>
      </c>
      <c r="B1" s="5">
        <v>2168</v>
      </c>
    </row>
    <row r="2" spans="1:10" ht="16" thickBot="1" x14ac:dyDescent="0.25">
      <c r="A2" s="3" t="s">
        <v>1</v>
      </c>
      <c r="B2" s="6">
        <v>600</v>
      </c>
    </row>
    <row r="3" spans="1:10" ht="16" thickBot="1" x14ac:dyDescent="0.25">
      <c r="A3" s="3" t="s">
        <v>2</v>
      </c>
      <c r="B3" s="6">
        <v>360000</v>
      </c>
    </row>
    <row r="4" spans="1:10" ht="16" thickBot="1" x14ac:dyDescent="0.25">
      <c r="A4" s="3" t="s">
        <v>3</v>
      </c>
      <c r="B4" s="4">
        <f>B3/(B1-B2)</f>
        <v>229.59183673469389</v>
      </c>
      <c r="E4" s="1"/>
    </row>
    <row r="5" spans="1:10" x14ac:dyDescent="0.2">
      <c r="A5" t="s">
        <v>4</v>
      </c>
      <c r="B5" t="s">
        <v>6</v>
      </c>
      <c r="D5" s="1"/>
    </row>
    <row r="6" spans="1:10" x14ac:dyDescent="0.2">
      <c r="A6">
        <v>100</v>
      </c>
      <c r="B6">
        <f>$B$1*A6</f>
        <v>216800</v>
      </c>
    </row>
    <row r="7" spans="1:10" x14ac:dyDescent="0.2">
      <c r="A7">
        <v>200</v>
      </c>
      <c r="B7">
        <f t="shared" ref="B7:B14" si="0">$B$1*A7</f>
        <v>433600</v>
      </c>
    </row>
    <row r="8" spans="1:10" x14ac:dyDescent="0.2">
      <c r="A8">
        <v>300</v>
      </c>
      <c r="B8">
        <f t="shared" si="0"/>
        <v>650400</v>
      </c>
    </row>
    <row r="9" spans="1:10" x14ac:dyDescent="0.2">
      <c r="A9">
        <v>400</v>
      </c>
      <c r="B9">
        <f t="shared" si="0"/>
        <v>867200</v>
      </c>
    </row>
    <row r="10" spans="1:10" x14ac:dyDescent="0.2">
      <c r="A10">
        <v>500</v>
      </c>
      <c r="B10">
        <f t="shared" si="0"/>
        <v>1084000</v>
      </c>
    </row>
    <row r="11" spans="1:10" x14ac:dyDescent="0.2">
      <c r="A11">
        <v>600</v>
      </c>
      <c r="B11">
        <f t="shared" si="0"/>
        <v>1300800</v>
      </c>
    </row>
    <row r="12" spans="1:10" x14ac:dyDescent="0.2">
      <c r="A12">
        <v>700</v>
      </c>
      <c r="B12">
        <f t="shared" si="0"/>
        <v>1517600</v>
      </c>
    </row>
    <row r="13" spans="1:10" x14ac:dyDescent="0.2">
      <c r="A13">
        <v>800</v>
      </c>
      <c r="B13">
        <f t="shared" si="0"/>
        <v>1734400</v>
      </c>
    </row>
    <row r="14" spans="1:10" x14ac:dyDescent="0.2">
      <c r="A14">
        <v>900</v>
      </c>
      <c r="B14">
        <f t="shared" si="0"/>
        <v>1951200</v>
      </c>
      <c r="J14" t="s">
        <v>7</v>
      </c>
    </row>
    <row r="16" spans="1:10" x14ac:dyDescent="0.2">
      <c r="A16" t="s">
        <v>5</v>
      </c>
      <c r="B16" t="s">
        <v>4</v>
      </c>
    </row>
    <row r="17" spans="1:2" x14ac:dyDescent="0.2">
      <c r="A17">
        <f>$B$3+($B$2*B17)</f>
        <v>420000</v>
      </c>
      <c r="B17">
        <v>100</v>
      </c>
    </row>
    <row r="18" spans="1:2" x14ac:dyDescent="0.2">
      <c r="A18">
        <f t="shared" ref="A18:A25" si="1">$B$3+($B$2*B18)</f>
        <v>480000</v>
      </c>
      <c r="B18">
        <v>200</v>
      </c>
    </row>
    <row r="19" spans="1:2" x14ac:dyDescent="0.2">
      <c r="A19">
        <f t="shared" si="1"/>
        <v>540000</v>
      </c>
      <c r="B19">
        <v>300</v>
      </c>
    </row>
    <row r="20" spans="1:2" x14ac:dyDescent="0.2">
      <c r="A20">
        <f t="shared" si="1"/>
        <v>600000</v>
      </c>
      <c r="B20">
        <v>400</v>
      </c>
    </row>
    <row r="21" spans="1:2" x14ac:dyDescent="0.2">
      <c r="A21">
        <f t="shared" si="1"/>
        <v>660000</v>
      </c>
      <c r="B21">
        <v>500</v>
      </c>
    </row>
    <row r="22" spans="1:2" x14ac:dyDescent="0.2">
      <c r="A22">
        <f t="shared" si="1"/>
        <v>720000</v>
      </c>
      <c r="B22">
        <v>600</v>
      </c>
    </row>
    <row r="23" spans="1:2" x14ac:dyDescent="0.2">
      <c r="A23">
        <f t="shared" si="1"/>
        <v>780000</v>
      </c>
      <c r="B23">
        <v>700</v>
      </c>
    </row>
    <row r="24" spans="1:2" x14ac:dyDescent="0.2">
      <c r="A24">
        <f t="shared" si="1"/>
        <v>840000</v>
      </c>
      <c r="B24">
        <v>800</v>
      </c>
    </row>
    <row r="25" spans="1:2" x14ac:dyDescent="0.2">
      <c r="A25">
        <f t="shared" si="1"/>
        <v>900000</v>
      </c>
      <c r="B25">
        <v>900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18B5-B6B3-894A-83EB-6E913CF562E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bep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FreePC</dc:creator>
  <cp:lastModifiedBy>Perseghin Erika</cp:lastModifiedBy>
  <dcterms:created xsi:type="dcterms:W3CDTF">2023-10-01T13:22:53Z</dcterms:created>
  <dcterms:modified xsi:type="dcterms:W3CDTF">2023-10-09T13:58:16Z</dcterms:modified>
</cp:coreProperties>
</file>